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 PC\Documents\"/>
    </mc:Choice>
  </mc:AlternateContent>
  <xr:revisionPtr revIDLastSave="0" documentId="13_ncr:1_{C28FF9D1-B4CA-4E60-A164-8D0F1F223DEA}" xr6:coauthVersionLast="47" xr6:coauthVersionMax="47" xr10:uidLastSave="{00000000-0000-0000-0000-000000000000}"/>
  <bookViews>
    <workbookView xWindow="-120" yWindow="-120" windowWidth="29040" windowHeight="15840" tabRatio="364" activeTab="1" xr2:uid="{00000000-000D-0000-FFFF-FFFF00000000}"/>
  </bookViews>
  <sheets>
    <sheet name="PENILAIAN KINERJA" sheetId="5" r:id="rId1"/>
    <sheet name="FORM INTEGRASI" sheetId="4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2" i="5" l="1"/>
  <c r="E41" i="5"/>
  <c r="E15" i="5" l="1"/>
  <c r="F17" i="4" l="1"/>
  <c r="F18" i="4" s="1"/>
  <c r="E16" i="5"/>
  <c r="E44" i="5" l="1"/>
</calcChain>
</file>

<file path=xl/sharedStrings.xml><?xml version="1.0" encoding="utf-8"?>
<sst xmlns="http://schemas.openxmlformats.org/spreadsheetml/2006/main" count="120" uniqueCount="71">
  <si>
    <t>Nama</t>
  </si>
  <si>
    <t>NIP</t>
  </si>
  <si>
    <t>Jabatan</t>
  </si>
  <si>
    <t>Unit Kerja</t>
  </si>
  <si>
    <t>Pangkat/Gol.Ruang</t>
  </si>
  <si>
    <t>UNSUR YANG DINILAI</t>
  </si>
  <si>
    <t>PEJABAT PENILAI</t>
  </si>
  <si>
    <t>FORM INTEGRASI HASIL PENILAIAN KINERJA PNS TAHUN 2021</t>
  </si>
  <si>
    <t xml:space="preserve">TANGGAL INTEGRASI PENILAIAN </t>
  </si>
  <si>
    <t>INTEGRASI HASIL PENILAIAN KINERJA PNS TAHUN 2021</t>
  </si>
  <si>
    <t>PERIODE</t>
  </si>
  <si>
    <t>Januari - Juni</t>
  </si>
  <si>
    <t>Juli - Desember</t>
  </si>
  <si>
    <t>NILAI KINERJA PNS TAHUN 2021</t>
  </si>
  <si>
    <t>PREDIKAT</t>
  </si>
  <si>
    <t>PEJABAT PENILAI KINERJA</t>
  </si>
  <si>
    <t>PEGAWAI YANG DINILAI</t>
  </si>
  <si>
    <t>Pejabat Penilai Kinerja,</t>
  </si>
  <si>
    <t>Pegawai yang Dinilai,</t>
  </si>
  <si>
    <t>PENILAIAN PRESTASI KERJA PNS PERIODE JANUARI - JUNI</t>
  </si>
  <si>
    <t>PNS YANG DINILAI</t>
  </si>
  <si>
    <t>NAMA</t>
  </si>
  <si>
    <t>PANGKAT/GOL</t>
  </si>
  <si>
    <t>JABATAN</t>
  </si>
  <si>
    <t>UNIT KERJA</t>
  </si>
  <si>
    <t>TANGGAL PENILAIAN</t>
  </si>
  <si>
    <t>NILAI</t>
  </si>
  <si>
    <t>PENILAIAN KINERJA PNS PERIODE JULI - DESEMBER</t>
  </si>
  <si>
    <t>NILAI KINERJA PNS</t>
  </si>
  <si>
    <t>NILAI AKHIR</t>
  </si>
  <si>
    <r>
      <t xml:space="preserve">NILAI PRESTASI KERJA PNS </t>
    </r>
    <r>
      <rPr>
        <sz val="11"/>
        <color rgb="FF000000"/>
        <rFont val="Calibri"/>
        <family val="2"/>
      </rPr>
      <t>(60% Nilai SKP dan 40% Nilai Perilaku Kerja)</t>
    </r>
  </si>
  <si>
    <t>Pegawai yang Dinilai</t>
  </si>
  <si>
    <t>a. Sasaran Kinerja Pegawai (SKP)</t>
  </si>
  <si>
    <t>b. Perilaku Kerja Pegawai</t>
  </si>
  <si>
    <t>c. Ide Baru</t>
  </si>
  <si>
    <t>01 Juli 2021</t>
  </si>
  <si>
    <r>
      <rPr>
        <b/>
        <sz val="11"/>
        <color rgb="FF000000"/>
        <rFont val="Calibri"/>
        <family val="2"/>
      </rPr>
      <t xml:space="preserve">KONVERSI NILAI PRESTASI KERJA PNS </t>
    </r>
    <r>
      <rPr>
        <sz val="11"/>
        <color rgb="FF000000"/>
        <rFont val="Calibri"/>
        <family val="2"/>
      </rPr>
      <t>(Periode Januari - Juni)</t>
    </r>
  </si>
  <si>
    <t>KONVERSI NILAI KINERJA PNS</t>
  </si>
  <si>
    <t>NILAI KINERJA PNS (70% Nilai SKP + 30% Nilai Perilaku Kerja)</t>
  </si>
  <si>
    <t>nilai ditulis manual menggunakan koma sesuai nilai di sheet penilaian kinerja</t>
  </si>
  <si>
    <t>31 Desember 2021</t>
  </si>
  <si>
    <t>3 Januari 2022</t>
  </si>
  <si>
    <t>juli-sept</t>
  </si>
  <si>
    <t>cetak form 1-2</t>
  </si>
  <si>
    <t xml:space="preserve"> ANANG WAHYUDI, S.Kep.Ns</t>
  </si>
  <si>
    <t xml:space="preserve"> PENATA/IIIC</t>
  </si>
  <si>
    <t xml:space="preserve"> KASUBAG UMUM DAN KEPEGAWAIAN</t>
  </si>
  <si>
    <t xml:space="preserve"> INSPEKTORAT </t>
  </si>
  <si>
    <t xml:space="preserve"> Dra. HARTINI, MM</t>
  </si>
  <si>
    <t xml:space="preserve"> 19640130 1992 03 2006</t>
  </si>
  <si>
    <t xml:space="preserve"> PEMBINA TINGKAT I/Ivb</t>
  </si>
  <si>
    <t xml:space="preserve"> SEKRETARIS</t>
  </si>
  <si>
    <t xml:space="preserve"> INSPEKTORAT</t>
  </si>
  <si>
    <t>ANANG WAHYUDI S.Kep.Ns</t>
  </si>
  <si>
    <t>NIP. 197710192010011005</t>
  </si>
  <si>
    <t>Mojokerto,06 Januari 2022</t>
  </si>
  <si>
    <t>SEKRETARIS</t>
  </si>
  <si>
    <t>Dra. Hartini, MM</t>
  </si>
  <si>
    <t>NIP. 19640130 1992 03 2006</t>
  </si>
  <si>
    <t xml:space="preserve"> ANANG WAHYUDI, S.Kep, Ns</t>
  </si>
  <si>
    <t xml:space="preserve"> Penata / IIIc</t>
  </si>
  <si>
    <t xml:space="preserve"> Kasubag Umum dan Kepegawian</t>
  </si>
  <si>
    <t xml:space="preserve"> Inspektorat</t>
  </si>
  <si>
    <t>19771019 2010 01 1006</t>
  </si>
  <si>
    <t xml:space="preserve"> Pembina Tingkat I/Ivb</t>
  </si>
  <si>
    <t xml:space="preserve"> Sekretaris</t>
  </si>
  <si>
    <t>Mojokerto,  06  Januari   2022</t>
  </si>
  <si>
    <t>ANANG WAHYUDI, S.Kep.Ns</t>
  </si>
  <si>
    <t>NIP. 197710192010011006</t>
  </si>
  <si>
    <t xml:space="preserve"> PENATA/IIIc</t>
  </si>
  <si>
    <t>INSPEKTORAT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</si>
</sst>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name val="Arial"/>
      <family val="2"/>
    </font>
    <font>
      <b/>
      <sz val="10"/>
      <name val="Arial Narrow"/>
      <family val="2"/>
    </font>
    <font>
      <sz val="11"/>
      <name val="Arial Narrow"/>
      <family val="2"/>
    </font>
    <font>
      <sz val="11"/>
      <name val="Arial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Arial Narrow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7DEE8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4" fillId="0" borderId="0" applyFont="0" applyFill="0" applyBorder="0" applyAlignment="0" applyProtection="0"/>
    <xf numFmtId="0" fontId="4" fillId="0" borderId="0"/>
  </cellStyleXfs>
  <cellXfs count="77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5" fillId="0" borderId="10" xfId="0" applyFont="1" applyBorder="1" applyAlignment="1">
      <alignment horizontal="left" vertical="center"/>
    </xf>
    <xf numFmtId="0" fontId="0" fillId="0" borderId="0" xfId="0" applyBorder="1" applyAlignment="1"/>
    <xf numFmtId="0" fontId="5" fillId="0" borderId="10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0" fillId="0" borderId="1" xfId="0" applyBorder="1" applyAlignment="1"/>
    <xf numFmtId="0" fontId="3" fillId="0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13" fillId="0" borderId="0" xfId="0" applyFont="1" applyAlignment="1">
      <alignment vertical="center"/>
    </xf>
    <xf numFmtId="0" fontId="0" fillId="0" borderId="0" xfId="0" applyProtection="1"/>
    <xf numFmtId="0" fontId="0" fillId="0" borderId="8" xfId="0" applyBorder="1" applyProtection="1"/>
    <xf numFmtId="0" fontId="0" fillId="0" borderId="6" xfId="0" applyBorder="1" applyProtection="1"/>
    <xf numFmtId="0" fontId="0" fillId="0" borderId="7" xfId="0" applyBorder="1" applyProtection="1"/>
    <xf numFmtId="0" fontId="0" fillId="0" borderId="4" xfId="0" applyBorder="1" applyProtection="1"/>
    <xf numFmtId="0" fontId="0" fillId="0" borderId="1" xfId="0" applyBorder="1" applyProtection="1"/>
    <xf numFmtId="0" fontId="9" fillId="0" borderId="0" xfId="0" applyFont="1" applyFill="1" applyBorder="1" applyProtection="1"/>
    <xf numFmtId="0" fontId="3" fillId="0" borderId="0" xfId="0" applyFont="1" applyBorder="1" applyAlignment="1" applyProtection="1">
      <alignment vertical="center" wrapText="1"/>
    </xf>
    <xf numFmtId="0" fontId="9" fillId="0" borderId="10" xfId="0" applyFont="1" applyFill="1" applyBorder="1" applyAlignment="1" applyProtection="1">
      <alignment vertical="center"/>
    </xf>
    <xf numFmtId="0" fontId="3" fillId="0" borderId="12" xfId="0" applyFont="1" applyBorder="1" applyAlignment="1" applyProtection="1">
      <alignment vertical="center" wrapText="1"/>
    </xf>
    <xf numFmtId="0" fontId="3" fillId="0" borderId="13" xfId="0" applyFont="1" applyBorder="1" applyAlignment="1" applyProtection="1">
      <alignment vertical="center" wrapText="1"/>
    </xf>
    <xf numFmtId="0" fontId="9" fillId="0" borderId="10" xfId="0" applyFont="1" applyFill="1" applyBorder="1" applyAlignment="1" applyProtection="1">
      <alignment vertical="center" wrapText="1"/>
    </xf>
    <xf numFmtId="0" fontId="13" fillId="0" borderId="0" xfId="0" applyFont="1" applyAlignment="1" applyProtection="1">
      <alignment vertical="center"/>
    </xf>
    <xf numFmtId="0" fontId="0" fillId="0" borderId="0" xfId="0" applyBorder="1" applyProtection="1"/>
    <xf numFmtId="0" fontId="0" fillId="0" borderId="5" xfId="0" applyBorder="1" applyProtection="1"/>
    <xf numFmtId="0" fontId="0" fillId="0" borderId="2" xfId="0" applyBorder="1" applyProtection="1"/>
    <xf numFmtId="0" fontId="0" fillId="0" borderId="3" xfId="0" applyBorder="1" applyProtection="1"/>
    <xf numFmtId="0" fontId="9" fillId="5" borderId="10" xfId="0" applyFont="1" applyFill="1" applyBorder="1" applyAlignment="1" applyProtection="1">
      <alignment horizontal="left" vertical="center" indent="1"/>
    </xf>
    <xf numFmtId="0" fontId="9" fillId="5" borderId="10" xfId="0" applyFont="1" applyFill="1" applyBorder="1" applyAlignment="1" applyProtection="1">
      <alignment horizontal="left" vertical="center" wrapText="1" indent="1"/>
    </xf>
    <xf numFmtId="2" fontId="9" fillId="5" borderId="10" xfId="0" applyNumberFormat="1" applyFont="1" applyFill="1" applyBorder="1" applyAlignment="1" applyProtection="1">
      <alignment vertical="center"/>
    </xf>
    <xf numFmtId="0" fontId="9" fillId="5" borderId="10" xfId="0" applyFont="1" applyFill="1" applyBorder="1" applyAlignment="1" applyProtection="1">
      <alignment vertical="center"/>
    </xf>
    <xf numFmtId="0" fontId="9" fillId="5" borderId="10" xfId="0" applyFont="1" applyFill="1" applyBorder="1" applyAlignment="1" applyProtection="1">
      <alignment horizontal="left" vertical="center" indent="1"/>
    </xf>
    <xf numFmtId="0" fontId="9" fillId="3" borderId="10" xfId="0" applyFont="1" applyFill="1" applyBorder="1" applyAlignment="1" applyProtection="1">
      <alignment horizontal="right" vertical="center" wrapText="1"/>
    </xf>
    <xf numFmtId="2" fontId="10" fillId="3" borderId="10" xfId="0" applyNumberFormat="1" applyFont="1" applyFill="1" applyBorder="1" applyAlignment="1" applyProtection="1">
      <alignment horizontal="center" vertical="center"/>
    </xf>
    <xf numFmtId="0" fontId="8" fillId="0" borderId="0" xfId="0" applyFont="1" applyFill="1" applyBorder="1" applyAlignment="1" applyProtection="1">
      <alignment horizontal="center"/>
    </xf>
    <xf numFmtId="0" fontId="10" fillId="4" borderId="10" xfId="0" applyFont="1" applyFill="1" applyBorder="1" applyAlignment="1" applyProtection="1">
      <alignment horizontal="center" vertical="center"/>
    </xf>
    <xf numFmtId="0" fontId="9" fillId="0" borderId="10" xfId="0" applyFont="1" applyFill="1" applyBorder="1" applyAlignment="1" applyProtection="1">
      <alignment horizontal="left" vertical="center"/>
    </xf>
    <xf numFmtId="2" fontId="9" fillId="0" borderId="10" xfId="0" applyNumberFormat="1" applyFont="1" applyFill="1" applyBorder="1" applyAlignment="1" applyProtection="1">
      <alignment horizontal="center" vertical="center"/>
    </xf>
    <xf numFmtId="0" fontId="10" fillId="4" borderId="10" xfId="0" applyFont="1" applyFill="1" applyBorder="1" applyAlignment="1" applyProtection="1">
      <alignment horizontal="right" vertical="center" wrapText="1"/>
    </xf>
    <xf numFmtId="2" fontId="9" fillId="4" borderId="10" xfId="0" applyNumberFormat="1" applyFont="1" applyFill="1" applyBorder="1" applyAlignment="1" applyProtection="1">
      <alignment horizontal="center" vertical="center"/>
    </xf>
    <xf numFmtId="0" fontId="9" fillId="5" borderId="10" xfId="0" applyFont="1" applyFill="1" applyBorder="1" applyAlignment="1" applyProtection="1">
      <alignment horizontal="left" vertical="center" indent="1"/>
    </xf>
    <xf numFmtId="0" fontId="9" fillId="0" borderId="0" xfId="0" applyFont="1" applyFill="1" applyBorder="1" applyAlignment="1" applyProtection="1">
      <alignment horizontal="center"/>
    </xf>
    <xf numFmtId="0" fontId="9" fillId="4" borderId="10" xfId="0" applyFont="1" applyFill="1" applyBorder="1" applyAlignment="1" applyProtection="1">
      <alignment horizontal="left" vertical="center" wrapText="1" indent="3"/>
    </xf>
    <xf numFmtId="0" fontId="9" fillId="0" borderId="10" xfId="0" applyFont="1" applyFill="1" applyBorder="1" applyAlignment="1" applyProtection="1">
      <alignment horizontal="left" vertical="center" indent="1"/>
    </xf>
    <xf numFmtId="0" fontId="10" fillId="2" borderId="10" xfId="0" applyFont="1" applyFill="1" applyBorder="1" applyAlignment="1" applyProtection="1">
      <alignment horizontal="center" vertical="center"/>
    </xf>
    <xf numFmtId="2" fontId="10" fillId="2" borderId="10" xfId="0" applyNumberFormat="1" applyFont="1" applyFill="1" applyBorder="1" applyAlignment="1" applyProtection="1">
      <alignment horizontal="center" vertical="center"/>
    </xf>
    <xf numFmtId="0" fontId="12" fillId="0" borderId="10" xfId="0" applyFont="1" applyBorder="1" applyAlignment="1" applyProtection="1">
      <alignment horizontal="left" vertical="center" indent="3"/>
    </xf>
    <xf numFmtId="0" fontId="9" fillId="0" borderId="10" xfId="0" applyFont="1" applyFill="1" applyBorder="1" applyAlignment="1" applyProtection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6" fillId="0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1" fillId="0" borderId="10" xfId="0" applyFont="1" applyFill="1" applyBorder="1" applyAlignment="1">
      <alignment horizontal="right" vertical="center"/>
    </xf>
    <xf numFmtId="0" fontId="7" fillId="0" borderId="10" xfId="0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10" xfId="0" applyFont="1" applyBorder="1" applyAlignment="1" applyProtection="1">
      <alignment vertical="center" wrapText="1"/>
    </xf>
    <xf numFmtId="12" fontId="3" fillId="0" borderId="12" xfId="1" applyNumberFormat="1" applyFont="1" applyBorder="1" applyAlignment="1" applyProtection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2" fontId="9" fillId="5" borderId="10" xfId="2" applyNumberFormat="1" applyFont="1" applyFill="1" applyBorder="1" applyAlignment="1" applyProtection="1">
      <alignment horizontal="center" vertical="center"/>
    </xf>
    <xf numFmtId="0" fontId="9" fillId="5" borderId="10" xfId="2" applyFont="1" applyFill="1" applyBorder="1" applyAlignment="1" applyProtection="1">
      <alignment horizontal="center" vertical="center"/>
    </xf>
    <xf numFmtId="2" fontId="9" fillId="4" borderId="10" xfId="2" applyNumberFormat="1" applyFont="1" applyFill="1" applyBorder="1" applyAlignment="1" applyProtection="1">
      <alignment horizontal="center" vertical="center"/>
    </xf>
    <xf numFmtId="2" fontId="4" fillId="0" borderId="10" xfId="2" applyNumberFormat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2" xfId="2" xr:uid="{D1BBB860-247A-4B4F-81FA-9C2D434FDE0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4</xdr:row>
      <xdr:rowOff>238125</xdr:rowOff>
    </xdr:from>
    <xdr:to>
      <xdr:col>11</xdr:col>
      <xdr:colOff>123825</xdr:colOff>
      <xdr:row>6</xdr:row>
      <xdr:rowOff>66675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9429750" y="1028700"/>
          <a:ext cx="1971675" cy="552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Diisi Manual sesuai dengan dokumen printout EKinerja</a:t>
          </a:r>
        </a:p>
      </xdr:txBody>
    </xdr:sp>
    <xdr:clientData/>
  </xdr:twoCellAnchor>
  <xdr:twoCellAnchor>
    <xdr:from>
      <xdr:col>7</xdr:col>
      <xdr:colOff>66675</xdr:colOff>
      <xdr:row>5</xdr:row>
      <xdr:rowOff>76200</xdr:rowOff>
    </xdr:from>
    <xdr:to>
      <xdr:col>7</xdr:col>
      <xdr:colOff>523875</xdr:colOff>
      <xdr:row>5</xdr:row>
      <xdr:rowOff>304800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8905875" y="1228725"/>
          <a:ext cx="457200" cy="2286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581025</xdr:colOff>
      <xdr:row>11</xdr:row>
      <xdr:rowOff>95250</xdr:rowOff>
    </xdr:from>
    <xdr:to>
      <xdr:col>11</xdr:col>
      <xdr:colOff>114300</xdr:colOff>
      <xdr:row>12</xdr:row>
      <xdr:rowOff>285750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946A32F6-7F75-4645-A7C9-B1015749BC56}"/>
            </a:ext>
          </a:extLst>
        </xdr:cNvPr>
        <xdr:cNvSpPr/>
      </xdr:nvSpPr>
      <xdr:spPr>
        <a:xfrm>
          <a:off x="9420225" y="3419475"/>
          <a:ext cx="1971675" cy="552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Diisi Manual sesuai dengan dokumen printout EKinerja</a:t>
          </a:r>
        </a:p>
      </xdr:txBody>
    </xdr:sp>
    <xdr:clientData/>
  </xdr:twoCellAnchor>
  <xdr:twoCellAnchor>
    <xdr:from>
      <xdr:col>7</xdr:col>
      <xdr:colOff>57150</xdr:colOff>
      <xdr:row>11</xdr:row>
      <xdr:rowOff>295275</xdr:rowOff>
    </xdr:from>
    <xdr:to>
      <xdr:col>7</xdr:col>
      <xdr:colOff>514350</xdr:colOff>
      <xdr:row>12</xdr:row>
      <xdr:rowOff>161925</xdr:rowOff>
    </xdr:to>
    <xdr:sp macro="" textlink="">
      <xdr:nvSpPr>
        <xdr:cNvPr id="12" name="Right Arrow 4">
          <a:extLst>
            <a:ext uri="{FF2B5EF4-FFF2-40B4-BE49-F238E27FC236}">
              <a16:creationId xmlns:a16="http://schemas.microsoft.com/office/drawing/2014/main" id="{CC36610E-8A89-418D-B9BC-4B1C93861837}"/>
            </a:ext>
          </a:extLst>
        </xdr:cNvPr>
        <xdr:cNvSpPr/>
      </xdr:nvSpPr>
      <xdr:spPr>
        <a:xfrm>
          <a:off x="8896350" y="3619500"/>
          <a:ext cx="457200" cy="2286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581025</xdr:colOff>
      <xdr:row>13</xdr:row>
      <xdr:rowOff>28575</xdr:rowOff>
    </xdr:from>
    <xdr:to>
      <xdr:col>11</xdr:col>
      <xdr:colOff>114300</xdr:colOff>
      <xdr:row>14</xdr:row>
      <xdr:rowOff>219075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ADF8942-80D2-4051-B88E-0A909C59360E}"/>
            </a:ext>
          </a:extLst>
        </xdr:cNvPr>
        <xdr:cNvSpPr/>
      </xdr:nvSpPr>
      <xdr:spPr>
        <a:xfrm>
          <a:off x="9420225" y="4076700"/>
          <a:ext cx="1971675" cy="552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Diisi Manual sesuai dengan dokumen printout EKinerja</a:t>
          </a:r>
        </a:p>
      </xdr:txBody>
    </xdr:sp>
    <xdr:clientData/>
  </xdr:twoCellAnchor>
  <xdr:twoCellAnchor>
    <xdr:from>
      <xdr:col>7</xdr:col>
      <xdr:colOff>57150</xdr:colOff>
      <xdr:row>13</xdr:row>
      <xdr:rowOff>228600</xdr:rowOff>
    </xdr:from>
    <xdr:to>
      <xdr:col>7</xdr:col>
      <xdr:colOff>514350</xdr:colOff>
      <xdr:row>14</xdr:row>
      <xdr:rowOff>95250</xdr:rowOff>
    </xdr:to>
    <xdr:sp macro="" textlink="">
      <xdr:nvSpPr>
        <xdr:cNvPr id="14" name="Right Arrow 4">
          <a:extLst>
            <a:ext uri="{FF2B5EF4-FFF2-40B4-BE49-F238E27FC236}">
              <a16:creationId xmlns:a16="http://schemas.microsoft.com/office/drawing/2014/main" id="{6105E080-960F-4D3F-9CDD-1B2C842D7C8E}"/>
            </a:ext>
          </a:extLst>
        </xdr:cNvPr>
        <xdr:cNvSpPr/>
      </xdr:nvSpPr>
      <xdr:spPr>
        <a:xfrm>
          <a:off x="8896350" y="4276725"/>
          <a:ext cx="457200" cy="2286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</xdr:colOff>
      <xdr:row>31</xdr:row>
      <xdr:rowOff>38100</xdr:rowOff>
    </xdr:from>
    <xdr:to>
      <xdr:col>11</xdr:col>
      <xdr:colOff>180975</xdr:colOff>
      <xdr:row>32</xdr:row>
      <xdr:rowOff>228600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3BFA5780-7465-476D-9DB0-0F102F30ABDC}"/>
            </a:ext>
          </a:extLst>
        </xdr:cNvPr>
        <xdr:cNvSpPr/>
      </xdr:nvSpPr>
      <xdr:spPr>
        <a:xfrm>
          <a:off x="9486900" y="8572500"/>
          <a:ext cx="1971675" cy="552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Diisi Manual sesuai dengan dokumen printout EKinerja</a:t>
          </a:r>
        </a:p>
      </xdr:txBody>
    </xdr:sp>
    <xdr:clientData/>
  </xdr:twoCellAnchor>
  <xdr:twoCellAnchor>
    <xdr:from>
      <xdr:col>7</xdr:col>
      <xdr:colOff>123825</xdr:colOff>
      <xdr:row>31</xdr:row>
      <xdr:rowOff>238125</xdr:rowOff>
    </xdr:from>
    <xdr:to>
      <xdr:col>7</xdr:col>
      <xdr:colOff>581025</xdr:colOff>
      <xdr:row>32</xdr:row>
      <xdr:rowOff>104775</xdr:rowOff>
    </xdr:to>
    <xdr:sp macro="" textlink="">
      <xdr:nvSpPr>
        <xdr:cNvPr id="16" name="Right Arrow 4">
          <a:extLst>
            <a:ext uri="{FF2B5EF4-FFF2-40B4-BE49-F238E27FC236}">
              <a16:creationId xmlns:a16="http://schemas.microsoft.com/office/drawing/2014/main" id="{552E9DFE-E364-48C3-B01E-54DD47649D0C}"/>
            </a:ext>
          </a:extLst>
        </xdr:cNvPr>
        <xdr:cNvSpPr/>
      </xdr:nvSpPr>
      <xdr:spPr>
        <a:xfrm>
          <a:off x="8963025" y="8772525"/>
          <a:ext cx="457200" cy="2286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561975</xdr:colOff>
      <xdr:row>37</xdr:row>
      <xdr:rowOff>171450</xdr:rowOff>
    </xdr:from>
    <xdr:to>
      <xdr:col>11</xdr:col>
      <xdr:colOff>95250</xdr:colOff>
      <xdr:row>39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D967DC05-7E6C-4892-BDD5-4982627529A1}"/>
            </a:ext>
          </a:extLst>
        </xdr:cNvPr>
        <xdr:cNvSpPr/>
      </xdr:nvSpPr>
      <xdr:spPr>
        <a:xfrm>
          <a:off x="9401175" y="10877550"/>
          <a:ext cx="1971675" cy="552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Diisi Manual sesuai dengan dokumen printout EKinerja</a:t>
          </a:r>
        </a:p>
      </xdr:txBody>
    </xdr:sp>
    <xdr:clientData/>
  </xdr:twoCellAnchor>
  <xdr:twoCellAnchor>
    <xdr:from>
      <xdr:col>7</xdr:col>
      <xdr:colOff>38100</xdr:colOff>
      <xdr:row>38</xdr:row>
      <xdr:rowOff>9525</xdr:rowOff>
    </xdr:from>
    <xdr:to>
      <xdr:col>7</xdr:col>
      <xdr:colOff>495300</xdr:colOff>
      <xdr:row>38</xdr:row>
      <xdr:rowOff>238125</xdr:rowOff>
    </xdr:to>
    <xdr:sp macro="" textlink="">
      <xdr:nvSpPr>
        <xdr:cNvPr id="18" name="Right Arrow 4">
          <a:extLst>
            <a:ext uri="{FF2B5EF4-FFF2-40B4-BE49-F238E27FC236}">
              <a16:creationId xmlns:a16="http://schemas.microsoft.com/office/drawing/2014/main" id="{AF6C4978-E494-4B56-862D-8F7A236C4D13}"/>
            </a:ext>
          </a:extLst>
        </xdr:cNvPr>
        <xdr:cNvSpPr/>
      </xdr:nvSpPr>
      <xdr:spPr>
        <a:xfrm>
          <a:off x="8877300" y="11077575"/>
          <a:ext cx="457200" cy="2286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561975</xdr:colOff>
      <xdr:row>39</xdr:row>
      <xdr:rowOff>76200</xdr:rowOff>
    </xdr:from>
    <xdr:to>
      <xdr:col>11</xdr:col>
      <xdr:colOff>95250</xdr:colOff>
      <xdr:row>40</xdr:row>
      <xdr:rowOff>266700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1CBEC282-86E8-49F5-9EA4-DBA4622CC840}"/>
            </a:ext>
          </a:extLst>
        </xdr:cNvPr>
        <xdr:cNvSpPr/>
      </xdr:nvSpPr>
      <xdr:spPr>
        <a:xfrm>
          <a:off x="9401175" y="11506200"/>
          <a:ext cx="1971675" cy="552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Diisi Manual sesuai dengan dokumen printout EKinerja</a:t>
          </a:r>
        </a:p>
      </xdr:txBody>
    </xdr:sp>
    <xdr:clientData/>
  </xdr:twoCellAnchor>
  <xdr:twoCellAnchor>
    <xdr:from>
      <xdr:col>7</xdr:col>
      <xdr:colOff>38100</xdr:colOff>
      <xdr:row>39</xdr:row>
      <xdr:rowOff>276225</xdr:rowOff>
    </xdr:from>
    <xdr:to>
      <xdr:col>7</xdr:col>
      <xdr:colOff>495300</xdr:colOff>
      <xdr:row>40</xdr:row>
      <xdr:rowOff>142875</xdr:rowOff>
    </xdr:to>
    <xdr:sp macro="" textlink="">
      <xdr:nvSpPr>
        <xdr:cNvPr id="20" name="Right Arrow 4">
          <a:extLst>
            <a:ext uri="{FF2B5EF4-FFF2-40B4-BE49-F238E27FC236}">
              <a16:creationId xmlns:a16="http://schemas.microsoft.com/office/drawing/2014/main" id="{637F5CB3-083A-4594-AA0A-3C3C62DE7A09}"/>
            </a:ext>
          </a:extLst>
        </xdr:cNvPr>
        <xdr:cNvSpPr/>
      </xdr:nvSpPr>
      <xdr:spPr>
        <a:xfrm>
          <a:off x="8877300" y="11706225"/>
          <a:ext cx="457200" cy="2286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</xdr:colOff>
      <xdr:row>14</xdr:row>
      <xdr:rowOff>238125</xdr:rowOff>
    </xdr:from>
    <xdr:to>
      <xdr:col>13</xdr:col>
      <xdr:colOff>19050</xdr:colOff>
      <xdr:row>14</xdr:row>
      <xdr:rowOff>238125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9239250" y="4543425"/>
          <a:ext cx="590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15</xdr:row>
      <xdr:rowOff>247650</xdr:rowOff>
    </xdr:from>
    <xdr:to>
      <xdr:col>13</xdr:col>
      <xdr:colOff>9525</xdr:colOff>
      <xdr:row>15</xdr:row>
      <xdr:rowOff>247650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9229725" y="5010150"/>
          <a:ext cx="590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53"/>
  <sheetViews>
    <sheetView topLeftCell="A22" workbookViewId="0">
      <selection activeCell="E42" sqref="E42:F42"/>
    </sheetView>
  </sheetViews>
  <sheetFormatPr defaultRowHeight="12.75" x14ac:dyDescent="0.2"/>
  <cols>
    <col min="1" max="2" width="9.140625" style="18"/>
    <col min="3" max="3" width="14.140625" style="18" bestFit="1" customWidth="1"/>
    <col min="4" max="4" width="31.42578125" style="18" customWidth="1"/>
    <col min="5" max="5" width="26.5703125" style="18" customWidth="1"/>
    <col min="6" max="6" width="35.7109375" style="18" customWidth="1"/>
    <col min="7" max="16384" width="9.140625" style="18"/>
  </cols>
  <sheetData>
    <row r="1" spans="2:14" ht="13.5" thickBot="1" x14ac:dyDescent="0.25"/>
    <row r="2" spans="2:14" x14ac:dyDescent="0.2">
      <c r="B2" s="19"/>
      <c r="C2" s="20"/>
      <c r="D2" s="20"/>
      <c r="E2" s="20"/>
      <c r="F2" s="20"/>
      <c r="G2" s="21"/>
    </row>
    <row r="3" spans="2:14" ht="21" x14ac:dyDescent="0.35">
      <c r="B3" s="22"/>
      <c r="C3" s="42" t="s">
        <v>19</v>
      </c>
      <c r="D3" s="42"/>
      <c r="E3" s="42"/>
      <c r="F3" s="42"/>
      <c r="G3" s="23"/>
    </row>
    <row r="4" spans="2:14" ht="15" x14ac:dyDescent="0.25">
      <c r="B4" s="22"/>
      <c r="C4" s="24"/>
      <c r="D4" s="24"/>
      <c r="E4" s="24"/>
      <c r="F4" s="24"/>
      <c r="G4" s="23"/>
    </row>
    <row r="5" spans="2:14" ht="28.5" customHeight="1" x14ac:dyDescent="0.2">
      <c r="B5" s="22"/>
      <c r="C5" s="43" t="s">
        <v>6</v>
      </c>
      <c r="D5" s="43"/>
      <c r="E5" s="43" t="s">
        <v>20</v>
      </c>
      <c r="F5" s="43"/>
      <c r="G5" s="23"/>
      <c r="L5" s="25"/>
      <c r="M5" s="25"/>
      <c r="N5" s="25"/>
    </row>
    <row r="6" spans="2:14" ht="28.5" customHeight="1" x14ac:dyDescent="0.2">
      <c r="B6" s="22"/>
      <c r="C6" s="26" t="s">
        <v>21</v>
      </c>
      <c r="D6" s="27" t="s">
        <v>44</v>
      </c>
      <c r="E6" s="26" t="s">
        <v>21</v>
      </c>
      <c r="F6" s="70" t="s">
        <v>48</v>
      </c>
      <c r="G6" s="28"/>
      <c r="H6" s="22"/>
      <c r="L6" s="25"/>
      <c r="M6" s="25"/>
      <c r="N6" s="25"/>
    </row>
    <row r="7" spans="2:14" ht="28.5" customHeight="1" x14ac:dyDescent="0.2">
      <c r="B7" s="22"/>
      <c r="C7" s="26" t="s">
        <v>1</v>
      </c>
      <c r="D7" s="27" t="s">
        <v>63</v>
      </c>
      <c r="E7" s="26" t="s">
        <v>1</v>
      </c>
      <c r="F7" s="70" t="s">
        <v>49</v>
      </c>
      <c r="G7" s="28"/>
      <c r="H7" s="22"/>
      <c r="L7" s="25"/>
      <c r="M7" s="25"/>
      <c r="N7" s="25"/>
    </row>
    <row r="8" spans="2:14" ht="28.5" customHeight="1" x14ac:dyDescent="0.2">
      <c r="B8" s="22"/>
      <c r="C8" s="26" t="s">
        <v>22</v>
      </c>
      <c r="D8" s="27" t="s">
        <v>69</v>
      </c>
      <c r="E8" s="26" t="s">
        <v>22</v>
      </c>
      <c r="F8" s="70" t="s">
        <v>50</v>
      </c>
      <c r="G8" s="28"/>
      <c r="H8" s="22"/>
      <c r="L8" s="25"/>
      <c r="M8" s="25"/>
      <c r="N8" s="25"/>
    </row>
    <row r="9" spans="2:14" ht="28.5" customHeight="1" x14ac:dyDescent="0.2">
      <c r="B9" s="22"/>
      <c r="C9" s="26" t="s">
        <v>23</v>
      </c>
      <c r="D9" s="27" t="s">
        <v>46</v>
      </c>
      <c r="E9" s="26" t="s">
        <v>23</v>
      </c>
      <c r="F9" s="70" t="s">
        <v>51</v>
      </c>
      <c r="G9" s="28"/>
      <c r="H9" s="22"/>
      <c r="L9" s="25"/>
      <c r="M9" s="25"/>
      <c r="N9" s="25"/>
    </row>
    <row r="10" spans="2:14" ht="28.5" customHeight="1" x14ac:dyDescent="0.2">
      <c r="B10" s="22"/>
      <c r="C10" s="26" t="s">
        <v>24</v>
      </c>
      <c r="D10" s="27" t="s">
        <v>70</v>
      </c>
      <c r="E10" s="26" t="s">
        <v>24</v>
      </c>
      <c r="F10" s="70" t="s">
        <v>52</v>
      </c>
      <c r="G10" s="28"/>
      <c r="H10" s="22"/>
    </row>
    <row r="11" spans="2:14" ht="28.5" customHeight="1" x14ac:dyDescent="0.2">
      <c r="B11" s="22"/>
      <c r="C11" s="29" t="s">
        <v>25</v>
      </c>
      <c r="D11" s="44" t="s">
        <v>35</v>
      </c>
      <c r="E11" s="44"/>
      <c r="F11" s="44"/>
      <c r="G11" s="23"/>
    </row>
    <row r="12" spans="2:14" ht="28.5" customHeight="1" x14ac:dyDescent="0.2">
      <c r="B12" s="22"/>
      <c r="C12" s="43" t="s">
        <v>5</v>
      </c>
      <c r="D12" s="43"/>
      <c r="E12" s="43" t="s">
        <v>26</v>
      </c>
      <c r="F12" s="43"/>
      <c r="G12" s="23"/>
    </row>
    <row r="13" spans="2:14" ht="28.5" customHeight="1" x14ac:dyDescent="0.2">
      <c r="B13" s="22"/>
      <c r="C13" s="44" t="s">
        <v>32</v>
      </c>
      <c r="D13" s="44"/>
      <c r="E13" s="45">
        <v>79.17</v>
      </c>
      <c r="F13" s="45"/>
      <c r="G13" s="23"/>
      <c r="I13" s="30"/>
    </row>
    <row r="14" spans="2:14" ht="28.5" customHeight="1" x14ac:dyDescent="0.2">
      <c r="B14" s="22"/>
      <c r="C14" s="44" t="s">
        <v>33</v>
      </c>
      <c r="D14" s="44"/>
      <c r="E14" s="45">
        <v>81.83</v>
      </c>
      <c r="F14" s="45"/>
      <c r="G14" s="23"/>
      <c r="I14" s="30"/>
    </row>
    <row r="15" spans="2:14" ht="45" customHeight="1" x14ac:dyDescent="0.2">
      <c r="B15" s="22"/>
      <c r="C15" s="46" t="s">
        <v>30</v>
      </c>
      <c r="D15" s="46"/>
      <c r="E15" s="47">
        <f>E13*(0.6)+E14*(0.4)</f>
        <v>80.234000000000009</v>
      </c>
      <c r="F15" s="47"/>
      <c r="G15" s="23"/>
    </row>
    <row r="16" spans="2:14" ht="45" customHeight="1" x14ac:dyDescent="0.2">
      <c r="B16" s="22"/>
      <c r="C16" s="40" t="s">
        <v>36</v>
      </c>
      <c r="D16" s="40"/>
      <c r="E16" s="41">
        <f>IF(E15&lt;=50,E15/50*49,IF(AND(E15&gt;50,E15&lt;=60),50+(69-50)/(60-51)*(E15-51),IF(AND(E15&gt;60,E15&lt;=75),70+(89-70)/(75-61)*(E15-61),IF(AND(E15&gt;75,E15&lt;=90),90+(109-90)/(90-76),110+(120-110)/(99-91)*(E15-91)))))</f>
        <v>91.357142857142861</v>
      </c>
      <c r="F16" s="41"/>
      <c r="G16" s="23"/>
    </row>
    <row r="17" spans="2:17" ht="15" x14ac:dyDescent="0.25">
      <c r="B17" s="22"/>
      <c r="C17" s="24"/>
      <c r="D17" s="24"/>
      <c r="E17" s="24"/>
      <c r="F17" s="24"/>
      <c r="G17" s="23"/>
    </row>
    <row r="18" spans="2:17" ht="15" x14ac:dyDescent="0.25">
      <c r="B18" s="22"/>
      <c r="C18" s="24"/>
      <c r="D18" s="24"/>
      <c r="E18" s="49" t="s">
        <v>55</v>
      </c>
      <c r="F18" s="49"/>
      <c r="G18" s="23"/>
    </row>
    <row r="19" spans="2:17" ht="15" x14ac:dyDescent="0.25">
      <c r="B19" s="22"/>
      <c r="C19" s="49" t="s">
        <v>6</v>
      </c>
      <c r="D19" s="49"/>
      <c r="E19" s="49" t="s">
        <v>20</v>
      </c>
      <c r="F19" s="49"/>
      <c r="G19" s="23"/>
    </row>
    <row r="20" spans="2:17" ht="15" x14ac:dyDescent="0.25">
      <c r="B20" s="22"/>
      <c r="C20" s="24"/>
      <c r="D20" s="24"/>
      <c r="E20" s="24"/>
      <c r="F20" s="24"/>
      <c r="G20" s="23"/>
    </row>
    <row r="21" spans="2:17" ht="15" x14ac:dyDescent="0.25">
      <c r="B21" s="22"/>
      <c r="C21" s="24"/>
      <c r="D21" s="24"/>
      <c r="E21" s="49"/>
      <c r="F21" s="49"/>
      <c r="G21" s="23"/>
    </row>
    <row r="22" spans="2:17" ht="15" x14ac:dyDescent="0.25">
      <c r="B22" s="22"/>
      <c r="C22" s="49" t="s">
        <v>57</v>
      </c>
      <c r="D22" s="49"/>
      <c r="E22" s="49" t="s">
        <v>53</v>
      </c>
      <c r="F22" s="49"/>
      <c r="G22" s="23"/>
    </row>
    <row r="23" spans="2:17" ht="15" x14ac:dyDescent="0.25">
      <c r="B23" s="22"/>
      <c r="C23" s="49" t="s">
        <v>58</v>
      </c>
      <c r="D23" s="49"/>
      <c r="E23" s="49" t="s">
        <v>54</v>
      </c>
      <c r="F23" s="49"/>
      <c r="G23" s="23"/>
    </row>
    <row r="24" spans="2:17" x14ac:dyDescent="0.2">
      <c r="B24" s="22"/>
      <c r="C24" s="31"/>
      <c r="D24" s="31"/>
      <c r="E24" s="31"/>
      <c r="F24" s="31"/>
      <c r="G24" s="23"/>
    </row>
    <row r="25" spans="2:17" ht="13.5" thickBot="1" x14ac:dyDescent="0.25">
      <c r="B25" s="32"/>
      <c r="C25" s="33"/>
      <c r="D25" s="33"/>
      <c r="E25" s="33"/>
      <c r="F25" s="33"/>
      <c r="G25" s="34"/>
    </row>
    <row r="27" spans="2:17" ht="13.5" thickBot="1" x14ac:dyDescent="0.25"/>
    <row r="28" spans="2:17" x14ac:dyDescent="0.2">
      <c r="B28" s="19"/>
      <c r="C28" s="20"/>
      <c r="D28" s="20"/>
      <c r="E28" s="20"/>
      <c r="F28" s="20"/>
      <c r="G28" s="21"/>
    </row>
    <row r="29" spans="2:17" ht="21" x14ac:dyDescent="0.35">
      <c r="B29" s="22"/>
      <c r="C29" s="42" t="s">
        <v>27</v>
      </c>
      <c r="D29" s="42"/>
      <c r="E29" s="42"/>
      <c r="F29" s="42"/>
      <c r="G29" s="23"/>
    </row>
    <row r="30" spans="2:17" ht="15" x14ac:dyDescent="0.25">
      <c r="B30" s="22"/>
      <c r="C30" s="24"/>
      <c r="D30" s="24"/>
      <c r="E30" s="24"/>
      <c r="F30" s="24"/>
      <c r="G30" s="23"/>
    </row>
    <row r="31" spans="2:17" ht="28.5" customHeight="1" x14ac:dyDescent="0.2">
      <c r="B31" s="22"/>
      <c r="C31" s="43" t="s">
        <v>16</v>
      </c>
      <c r="D31" s="43"/>
      <c r="E31" s="43" t="s">
        <v>15</v>
      </c>
      <c r="F31" s="43"/>
      <c r="G31" s="23"/>
      <c r="P31" s="18" t="s">
        <v>42</v>
      </c>
      <c r="Q31" s="18" t="s">
        <v>43</v>
      </c>
    </row>
    <row r="32" spans="2:17" ht="28.5" customHeight="1" x14ac:dyDescent="0.2">
      <c r="B32" s="22"/>
      <c r="C32" s="35" t="s">
        <v>21</v>
      </c>
      <c r="D32" s="27" t="s">
        <v>44</v>
      </c>
      <c r="E32" s="35" t="s">
        <v>21</v>
      </c>
      <c r="F32" s="70" t="s">
        <v>48</v>
      </c>
      <c r="G32" s="23"/>
    </row>
    <row r="33" spans="2:10" ht="28.5" customHeight="1" x14ac:dyDescent="0.2">
      <c r="B33" s="22"/>
      <c r="C33" s="39" t="s">
        <v>1</v>
      </c>
      <c r="D33" s="71">
        <v>1.9771019201001101E+17</v>
      </c>
      <c r="E33" s="35" t="s">
        <v>1</v>
      </c>
      <c r="F33" s="70" t="s">
        <v>49</v>
      </c>
      <c r="G33" s="23"/>
    </row>
    <row r="34" spans="2:10" ht="28.5" customHeight="1" x14ac:dyDescent="0.2">
      <c r="B34" s="22"/>
      <c r="C34" s="39" t="s">
        <v>22</v>
      </c>
      <c r="D34" s="27" t="s">
        <v>45</v>
      </c>
      <c r="E34" s="35" t="s">
        <v>22</v>
      </c>
      <c r="F34" s="70" t="s">
        <v>50</v>
      </c>
      <c r="G34" s="23"/>
    </row>
    <row r="35" spans="2:10" ht="28.5" customHeight="1" x14ac:dyDescent="0.2">
      <c r="B35" s="22"/>
      <c r="C35" s="35" t="s">
        <v>23</v>
      </c>
      <c r="D35" s="27" t="s">
        <v>46</v>
      </c>
      <c r="E35" s="35" t="s">
        <v>23</v>
      </c>
      <c r="F35" s="70" t="s">
        <v>51</v>
      </c>
      <c r="G35" s="23"/>
    </row>
    <row r="36" spans="2:10" ht="28.5" customHeight="1" x14ac:dyDescent="0.2">
      <c r="B36" s="22"/>
      <c r="C36" s="35" t="s">
        <v>24</v>
      </c>
      <c r="D36" s="27" t="s">
        <v>47</v>
      </c>
      <c r="E36" s="35" t="s">
        <v>24</v>
      </c>
      <c r="F36" s="70" t="s">
        <v>52</v>
      </c>
      <c r="G36" s="23"/>
    </row>
    <row r="37" spans="2:10" ht="28.5" customHeight="1" x14ac:dyDescent="0.2">
      <c r="B37" s="22"/>
      <c r="C37" s="36" t="s">
        <v>25</v>
      </c>
      <c r="D37" s="48" t="s">
        <v>40</v>
      </c>
      <c r="E37" s="48"/>
      <c r="F37" s="48"/>
      <c r="G37" s="23"/>
    </row>
    <row r="38" spans="2:10" ht="28.5" customHeight="1" x14ac:dyDescent="0.2">
      <c r="B38" s="22"/>
      <c r="C38" s="43" t="s">
        <v>5</v>
      </c>
      <c r="D38" s="43"/>
      <c r="E38" s="43" t="s">
        <v>26</v>
      </c>
      <c r="F38" s="43"/>
      <c r="G38" s="23"/>
    </row>
    <row r="39" spans="2:10" ht="28.5" customHeight="1" x14ac:dyDescent="0.2">
      <c r="B39" s="22"/>
      <c r="C39" s="48" t="s">
        <v>32</v>
      </c>
      <c r="D39" s="48"/>
      <c r="E39" s="73">
        <v>89.23</v>
      </c>
      <c r="F39" s="74"/>
      <c r="G39" s="23"/>
      <c r="I39" s="37"/>
      <c r="J39" s="38"/>
    </row>
    <row r="40" spans="2:10" ht="28.5" customHeight="1" x14ac:dyDescent="0.2">
      <c r="B40" s="22"/>
      <c r="C40" s="48" t="s">
        <v>33</v>
      </c>
      <c r="D40" s="48"/>
      <c r="E40" s="73">
        <v>81.97</v>
      </c>
      <c r="F40" s="74"/>
      <c r="G40" s="23"/>
      <c r="I40" s="37"/>
      <c r="J40" s="38"/>
    </row>
    <row r="41" spans="2:10" ht="34.5" customHeight="1" x14ac:dyDescent="0.2">
      <c r="B41" s="22"/>
      <c r="C41" s="50" t="s">
        <v>38</v>
      </c>
      <c r="D41" s="50"/>
      <c r="E41" s="75">
        <f>E39*(0.7)+E40*(0.3)</f>
        <v>87.051999999999992</v>
      </c>
      <c r="F41" s="75"/>
      <c r="G41" s="23"/>
    </row>
    <row r="42" spans="2:10" ht="28.5" customHeight="1" x14ac:dyDescent="0.2">
      <c r="B42" s="22"/>
      <c r="C42" s="54" t="s">
        <v>37</v>
      </c>
      <c r="D42" s="54"/>
      <c r="E42" s="76">
        <f>IF(E41&lt;=50,E41/50*49,IF(AND(E41&gt;50,E41&lt;=60),50+(69-50)/(60-51)*(E41-51),IF(AND(E41&gt;60,E41&lt;=75),70+(89-70)/(75-61)*(E41-61),IF(AND(E41&gt;75,E41&lt;=90),90+(109-90)/(90-76)*(E41-76),110+(120-110)/(99-91)*(E41-91)))))</f>
        <v>104.99914285714284</v>
      </c>
      <c r="F42" s="76"/>
      <c r="G42" s="23"/>
      <c r="I42" s="30"/>
    </row>
    <row r="43" spans="2:10" ht="28.5" customHeight="1" x14ac:dyDescent="0.2">
      <c r="B43" s="22"/>
      <c r="C43" s="51" t="s">
        <v>34</v>
      </c>
      <c r="D43" s="51"/>
      <c r="E43" s="55"/>
      <c r="F43" s="55"/>
      <c r="G43" s="23"/>
    </row>
    <row r="44" spans="2:10" ht="28.5" customHeight="1" x14ac:dyDescent="0.2">
      <c r="B44" s="22"/>
      <c r="C44" s="52" t="s">
        <v>29</v>
      </c>
      <c r="D44" s="52"/>
      <c r="E44" s="53">
        <f>E42+E43</f>
        <v>104.99914285714284</v>
      </c>
      <c r="F44" s="53"/>
      <c r="G44" s="23"/>
    </row>
    <row r="45" spans="2:10" ht="15" x14ac:dyDescent="0.25">
      <c r="B45" s="22"/>
      <c r="C45" s="24"/>
      <c r="D45" s="24"/>
      <c r="E45" s="24"/>
      <c r="F45" s="24"/>
      <c r="G45" s="23"/>
    </row>
    <row r="46" spans="2:10" ht="15" x14ac:dyDescent="0.25">
      <c r="B46" s="22"/>
      <c r="C46" s="24"/>
      <c r="D46" s="24"/>
      <c r="E46" s="49" t="s">
        <v>55</v>
      </c>
      <c r="F46" s="49"/>
      <c r="G46" s="23"/>
    </row>
    <row r="47" spans="2:10" ht="15" x14ac:dyDescent="0.25">
      <c r="B47" s="22"/>
      <c r="C47" s="49" t="s">
        <v>31</v>
      </c>
      <c r="D47" s="49"/>
      <c r="E47" s="49" t="s">
        <v>56</v>
      </c>
      <c r="F47" s="49"/>
      <c r="G47" s="23"/>
    </row>
    <row r="48" spans="2:10" ht="15" x14ac:dyDescent="0.25">
      <c r="B48" s="22"/>
      <c r="C48" s="24"/>
      <c r="D48" s="24"/>
      <c r="E48" s="24"/>
      <c r="F48" s="24"/>
      <c r="G48" s="23"/>
    </row>
    <row r="49" spans="2:7" ht="15" x14ac:dyDescent="0.25">
      <c r="B49" s="22"/>
      <c r="C49" s="24"/>
      <c r="D49" s="24"/>
      <c r="E49" s="24"/>
      <c r="F49" s="24"/>
      <c r="G49" s="23"/>
    </row>
    <row r="50" spans="2:7" ht="15" x14ac:dyDescent="0.25">
      <c r="B50" s="22"/>
      <c r="C50" s="49" t="s">
        <v>53</v>
      </c>
      <c r="D50" s="49"/>
      <c r="E50" s="49" t="s">
        <v>57</v>
      </c>
      <c r="F50" s="49"/>
      <c r="G50" s="23"/>
    </row>
    <row r="51" spans="2:7" ht="15" x14ac:dyDescent="0.25">
      <c r="B51" s="22"/>
      <c r="C51" s="49" t="s">
        <v>54</v>
      </c>
      <c r="D51" s="49"/>
      <c r="E51" s="49" t="s">
        <v>58</v>
      </c>
      <c r="F51" s="49"/>
      <c r="G51" s="23"/>
    </row>
    <row r="52" spans="2:7" ht="15" x14ac:dyDescent="0.25">
      <c r="B52" s="22"/>
      <c r="C52" s="24"/>
      <c r="D52" s="24"/>
      <c r="E52" s="24"/>
      <c r="F52" s="24"/>
      <c r="G52" s="23"/>
    </row>
    <row r="53" spans="2:7" ht="13.5" thickBot="1" x14ac:dyDescent="0.25">
      <c r="B53" s="32"/>
      <c r="C53" s="33"/>
      <c r="D53" s="33"/>
      <c r="E53" s="33"/>
      <c r="F53" s="33"/>
      <c r="G53" s="34"/>
    </row>
  </sheetData>
  <mergeCells count="47">
    <mergeCell ref="C50:D50"/>
    <mergeCell ref="E50:F50"/>
    <mergeCell ref="C51:D51"/>
    <mergeCell ref="E51:F51"/>
    <mergeCell ref="C29:F29"/>
    <mergeCell ref="C31:D31"/>
    <mergeCell ref="E31:F31"/>
    <mergeCell ref="D37:F37"/>
    <mergeCell ref="C38:D38"/>
    <mergeCell ref="E38:F38"/>
    <mergeCell ref="E43:F43"/>
    <mergeCell ref="E46:F46"/>
    <mergeCell ref="C47:D47"/>
    <mergeCell ref="E47:F47"/>
    <mergeCell ref="C41:D41"/>
    <mergeCell ref="C43:D43"/>
    <mergeCell ref="C44:D44"/>
    <mergeCell ref="E44:F44"/>
    <mergeCell ref="C42:D42"/>
    <mergeCell ref="E41:F41"/>
    <mergeCell ref="E42:F42"/>
    <mergeCell ref="C39:D39"/>
    <mergeCell ref="C40:D40"/>
    <mergeCell ref="C23:D23"/>
    <mergeCell ref="E23:F23"/>
    <mergeCell ref="E18:F18"/>
    <mergeCell ref="C19:D19"/>
    <mergeCell ref="E19:F19"/>
    <mergeCell ref="E21:F21"/>
    <mergeCell ref="C22:D22"/>
    <mergeCell ref="E22:F22"/>
    <mergeCell ref="E39:F39"/>
    <mergeCell ref="E40:F40"/>
    <mergeCell ref="C16:D16"/>
    <mergeCell ref="E16:F16"/>
    <mergeCell ref="C3:F3"/>
    <mergeCell ref="C5:D5"/>
    <mergeCell ref="E5:F5"/>
    <mergeCell ref="D11:F11"/>
    <mergeCell ref="C12:D12"/>
    <mergeCell ref="E12:F12"/>
    <mergeCell ref="C13:D13"/>
    <mergeCell ref="E13:F13"/>
    <mergeCell ref="C14:D14"/>
    <mergeCell ref="E14:F14"/>
    <mergeCell ref="C15:D15"/>
    <mergeCell ref="E15:F15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N28"/>
  <sheetViews>
    <sheetView tabSelected="1" workbookViewId="0">
      <selection activeCell="F17" sqref="F17:K17"/>
    </sheetView>
  </sheetViews>
  <sheetFormatPr defaultRowHeight="12.75" x14ac:dyDescent="0.2"/>
  <cols>
    <col min="3" max="3" width="20.85546875" customWidth="1"/>
    <col min="5" max="5" width="25.7109375" customWidth="1"/>
  </cols>
  <sheetData>
    <row r="1" spans="2:14" ht="13.5" thickBot="1" x14ac:dyDescent="0.25"/>
    <row r="2" spans="2:14" x14ac:dyDescent="0.2">
      <c r="B2" s="9"/>
      <c r="C2" s="6"/>
      <c r="D2" s="6"/>
      <c r="E2" s="6"/>
      <c r="F2" s="6"/>
      <c r="G2" s="6"/>
      <c r="H2" s="6"/>
      <c r="I2" s="6"/>
      <c r="J2" s="6"/>
      <c r="K2" s="6"/>
      <c r="L2" s="7"/>
    </row>
    <row r="3" spans="2:14" ht="15.75" x14ac:dyDescent="0.25">
      <c r="B3" s="5"/>
      <c r="C3" s="66" t="s">
        <v>7</v>
      </c>
      <c r="D3" s="66"/>
      <c r="E3" s="66"/>
      <c r="F3" s="66"/>
      <c r="G3" s="66"/>
      <c r="H3" s="66"/>
      <c r="I3" s="66"/>
      <c r="J3" s="66"/>
      <c r="K3" s="66"/>
      <c r="L3" s="2"/>
    </row>
    <row r="4" spans="2:14" ht="15.75" x14ac:dyDescent="0.25">
      <c r="B4" s="5"/>
      <c r="C4" s="13"/>
      <c r="D4" s="13"/>
      <c r="E4" s="13"/>
      <c r="F4" s="13"/>
      <c r="G4" s="13"/>
      <c r="H4" s="13"/>
      <c r="I4" s="13"/>
      <c r="J4" s="13"/>
      <c r="K4" s="13"/>
      <c r="L4" s="2"/>
    </row>
    <row r="5" spans="2:14" x14ac:dyDescent="0.2">
      <c r="B5" s="5"/>
      <c r="C5" s="1"/>
      <c r="D5" s="1"/>
      <c r="E5" s="1"/>
      <c r="F5" s="1"/>
      <c r="G5" s="1"/>
      <c r="H5" s="1"/>
      <c r="I5" s="1"/>
      <c r="J5" s="1"/>
      <c r="K5" s="1"/>
      <c r="L5" s="2"/>
    </row>
    <row r="6" spans="2:14" ht="27" customHeight="1" x14ac:dyDescent="0.2">
      <c r="B6" s="5"/>
      <c r="C6" s="67" t="s">
        <v>16</v>
      </c>
      <c r="D6" s="67"/>
      <c r="E6" s="67"/>
      <c r="F6" s="67" t="s">
        <v>15</v>
      </c>
      <c r="G6" s="67"/>
      <c r="H6" s="67"/>
      <c r="I6" s="67"/>
      <c r="J6" s="67"/>
      <c r="K6" s="67"/>
      <c r="L6" s="2"/>
    </row>
    <row r="7" spans="2:14" ht="27.75" customHeight="1" x14ac:dyDescent="0.2">
      <c r="B7" s="5"/>
      <c r="C7" s="10" t="s">
        <v>0</v>
      </c>
      <c r="D7" s="57" t="s">
        <v>59</v>
      </c>
      <c r="E7" s="59"/>
      <c r="F7" s="56" t="s">
        <v>0</v>
      </c>
      <c r="G7" s="56"/>
      <c r="H7" s="57" t="s">
        <v>48</v>
      </c>
      <c r="I7" s="58"/>
      <c r="J7" s="58"/>
      <c r="K7" s="59"/>
      <c r="L7" s="2"/>
    </row>
    <row r="8" spans="2:14" ht="27.75" customHeight="1" x14ac:dyDescent="0.2">
      <c r="B8" s="5"/>
      <c r="C8" s="10" t="s">
        <v>1</v>
      </c>
      <c r="D8" s="57" t="s">
        <v>63</v>
      </c>
      <c r="E8" s="59"/>
      <c r="F8" s="56" t="s">
        <v>1</v>
      </c>
      <c r="G8" s="56"/>
      <c r="H8" s="57" t="s">
        <v>49</v>
      </c>
      <c r="I8" s="58"/>
      <c r="J8" s="58"/>
      <c r="K8" s="59"/>
      <c r="L8" s="2"/>
    </row>
    <row r="9" spans="2:14" ht="27.75" customHeight="1" x14ac:dyDescent="0.2">
      <c r="B9" s="5"/>
      <c r="C9" s="10" t="s">
        <v>4</v>
      </c>
      <c r="D9" s="57" t="s">
        <v>60</v>
      </c>
      <c r="E9" s="59"/>
      <c r="F9" s="56" t="s">
        <v>4</v>
      </c>
      <c r="G9" s="56"/>
      <c r="H9" s="57" t="s">
        <v>64</v>
      </c>
      <c r="I9" s="58"/>
      <c r="J9" s="58"/>
      <c r="K9" s="59"/>
      <c r="L9" s="2"/>
    </row>
    <row r="10" spans="2:14" ht="27.75" customHeight="1" x14ac:dyDescent="0.2">
      <c r="B10" s="5"/>
      <c r="C10" s="10" t="s">
        <v>2</v>
      </c>
      <c r="D10" s="57" t="s">
        <v>61</v>
      </c>
      <c r="E10" s="59"/>
      <c r="F10" s="56" t="s">
        <v>2</v>
      </c>
      <c r="G10" s="56"/>
      <c r="H10" s="57" t="s">
        <v>65</v>
      </c>
      <c r="I10" s="58"/>
      <c r="J10" s="58"/>
      <c r="K10" s="59"/>
      <c r="L10" s="2"/>
    </row>
    <row r="11" spans="2:14" ht="27.75" customHeight="1" x14ac:dyDescent="0.2">
      <c r="B11" s="5"/>
      <c r="C11" s="10" t="s">
        <v>3</v>
      </c>
      <c r="D11" s="57" t="s">
        <v>62</v>
      </c>
      <c r="E11" s="59"/>
      <c r="F11" s="56" t="s">
        <v>3</v>
      </c>
      <c r="G11" s="56"/>
      <c r="H11" s="57" t="s">
        <v>62</v>
      </c>
      <c r="I11" s="58"/>
      <c r="J11" s="58"/>
      <c r="K11" s="59"/>
      <c r="L11" s="2"/>
    </row>
    <row r="12" spans="2:14" ht="39" customHeight="1" x14ac:dyDescent="0.2">
      <c r="B12" s="5"/>
      <c r="C12" s="12" t="s">
        <v>8</v>
      </c>
      <c r="D12" s="61" t="s">
        <v>41</v>
      </c>
      <c r="E12" s="62"/>
      <c r="F12" s="62"/>
      <c r="G12" s="62"/>
      <c r="H12" s="62"/>
      <c r="I12" s="62"/>
      <c r="J12" s="62"/>
      <c r="K12" s="62"/>
      <c r="L12" s="14"/>
    </row>
    <row r="13" spans="2:14" ht="27.75" customHeight="1" x14ac:dyDescent="0.2">
      <c r="B13" s="5"/>
      <c r="C13" s="60" t="s">
        <v>9</v>
      </c>
      <c r="D13" s="60"/>
      <c r="E13" s="60"/>
      <c r="F13" s="60"/>
      <c r="G13" s="60"/>
      <c r="H13" s="60"/>
      <c r="I13" s="60"/>
      <c r="J13" s="60"/>
      <c r="K13" s="60"/>
      <c r="L13" s="15"/>
    </row>
    <row r="14" spans="2:14" ht="36" customHeight="1" x14ac:dyDescent="0.2">
      <c r="B14" s="5"/>
      <c r="C14" s="60" t="s">
        <v>10</v>
      </c>
      <c r="D14" s="60"/>
      <c r="E14" s="60"/>
      <c r="F14" s="64" t="s">
        <v>28</v>
      </c>
      <c r="G14" s="64"/>
      <c r="H14" s="64"/>
      <c r="I14" s="64"/>
      <c r="J14" s="64"/>
      <c r="K14" s="64"/>
      <c r="L14" s="2"/>
    </row>
    <row r="15" spans="2:14" ht="36" customHeight="1" x14ac:dyDescent="0.2">
      <c r="B15" s="5"/>
      <c r="C15" s="60" t="s">
        <v>11</v>
      </c>
      <c r="D15" s="60"/>
      <c r="E15" s="60"/>
      <c r="F15" s="65">
        <v>91.36</v>
      </c>
      <c r="G15" s="65"/>
      <c r="H15" s="65"/>
      <c r="I15" s="65"/>
      <c r="J15" s="65"/>
      <c r="K15" s="65"/>
      <c r="L15" s="2"/>
      <c r="N15" s="17" t="s">
        <v>39</v>
      </c>
    </row>
    <row r="16" spans="2:14" ht="36" customHeight="1" x14ac:dyDescent="0.2">
      <c r="B16" s="5"/>
      <c r="C16" s="60" t="s">
        <v>12</v>
      </c>
      <c r="D16" s="60"/>
      <c r="E16" s="60"/>
      <c r="F16" s="65">
        <v>105</v>
      </c>
      <c r="G16" s="65"/>
      <c r="H16" s="65"/>
      <c r="I16" s="65"/>
      <c r="J16" s="65"/>
      <c r="K16" s="65"/>
      <c r="L16" s="2"/>
      <c r="N16" s="17" t="s">
        <v>39</v>
      </c>
    </row>
    <row r="17" spans="2:12" ht="36" customHeight="1" x14ac:dyDescent="0.2">
      <c r="B17" s="5"/>
      <c r="C17" s="63" t="s">
        <v>13</v>
      </c>
      <c r="D17" s="63"/>
      <c r="E17" s="63"/>
      <c r="F17" s="64">
        <f>F15*0.5+F16*0.5</f>
        <v>98.18</v>
      </c>
      <c r="G17" s="64"/>
      <c r="H17" s="64"/>
      <c r="I17" s="64"/>
      <c r="J17" s="64"/>
      <c r="K17" s="64"/>
      <c r="L17" s="2"/>
    </row>
    <row r="18" spans="2:12" ht="36" customHeight="1" x14ac:dyDescent="0.2">
      <c r="B18" s="5"/>
      <c r="C18" s="63" t="s">
        <v>14</v>
      </c>
      <c r="D18" s="63"/>
      <c r="E18" s="63"/>
      <c r="F18" s="64" t="str">
        <f>IF(F17&lt;=49,"(Sangat Kurang)",IF(F17&lt;=69,"(Kurang)",IF(F17&lt;=89,"(Cukup)",IF(F17&lt;=109.12,"(Baik)","(Sangat Baik)"))))</f>
        <v>(Baik)</v>
      </c>
      <c r="G18" s="64"/>
      <c r="H18" s="64"/>
      <c r="I18" s="64"/>
      <c r="J18" s="64"/>
      <c r="K18" s="64"/>
      <c r="L18" s="2"/>
    </row>
    <row r="19" spans="2:12" x14ac:dyDescent="0.2">
      <c r="B19" s="5"/>
      <c r="C19" s="1"/>
      <c r="D19" s="1"/>
      <c r="E19" s="1"/>
      <c r="F19" s="1"/>
      <c r="G19" s="1"/>
      <c r="H19" s="1"/>
      <c r="I19" s="1"/>
      <c r="J19" s="1"/>
      <c r="K19" s="1"/>
      <c r="L19" s="2"/>
    </row>
    <row r="20" spans="2:12" x14ac:dyDescent="0.2">
      <c r="B20" s="5"/>
      <c r="C20" s="1"/>
      <c r="D20" s="1"/>
      <c r="E20" s="1"/>
      <c r="F20" s="1"/>
      <c r="G20" s="1"/>
      <c r="H20" s="68" t="s">
        <v>66</v>
      </c>
      <c r="I20" s="68"/>
      <c r="J20" s="68"/>
      <c r="K20" s="68"/>
      <c r="L20" s="16"/>
    </row>
    <row r="21" spans="2:12" x14ac:dyDescent="0.2">
      <c r="B21" s="5"/>
      <c r="C21" s="68" t="s">
        <v>18</v>
      </c>
      <c r="D21" s="68"/>
      <c r="E21" s="68"/>
      <c r="F21" s="11"/>
      <c r="G21" s="1"/>
      <c r="H21" s="68" t="s">
        <v>17</v>
      </c>
      <c r="I21" s="68"/>
      <c r="J21" s="68"/>
      <c r="K21" s="68"/>
      <c r="L21" s="2"/>
    </row>
    <row r="22" spans="2:12" x14ac:dyDescent="0.2">
      <c r="B22" s="5"/>
      <c r="C22" s="1"/>
      <c r="D22" s="1"/>
      <c r="E22" s="1"/>
      <c r="F22" s="1"/>
      <c r="G22" s="1"/>
      <c r="H22" s="1"/>
      <c r="I22" s="1"/>
      <c r="J22" s="1"/>
      <c r="K22" s="1"/>
      <c r="L22" s="2"/>
    </row>
    <row r="23" spans="2:12" x14ac:dyDescent="0.2">
      <c r="B23" s="5"/>
      <c r="C23" s="1"/>
      <c r="D23" s="1"/>
      <c r="E23" s="1"/>
      <c r="F23" s="1"/>
      <c r="G23" s="1"/>
      <c r="H23" s="1"/>
      <c r="I23" s="1"/>
      <c r="J23" s="1"/>
      <c r="K23" s="1"/>
      <c r="L23" s="2"/>
    </row>
    <row r="24" spans="2:12" x14ac:dyDescent="0.2">
      <c r="B24" s="5"/>
      <c r="C24" s="1"/>
      <c r="D24" s="1"/>
      <c r="E24" s="1"/>
      <c r="F24" s="1"/>
      <c r="G24" s="1"/>
      <c r="H24" s="1"/>
      <c r="I24" s="1"/>
      <c r="J24" s="1"/>
      <c r="K24" s="1"/>
      <c r="L24" s="2"/>
    </row>
    <row r="25" spans="2:12" ht="12.75" customHeight="1" x14ac:dyDescent="0.2">
      <c r="B25" s="5"/>
      <c r="C25" s="68" t="s">
        <v>67</v>
      </c>
      <c r="D25" s="69"/>
      <c r="E25" s="69"/>
      <c r="F25" s="1"/>
      <c r="G25" s="1"/>
      <c r="H25" s="72" t="s">
        <v>48</v>
      </c>
      <c r="I25" s="72"/>
      <c r="J25" s="72"/>
      <c r="K25" s="72"/>
      <c r="L25" s="2"/>
    </row>
    <row r="26" spans="2:12" ht="12.75" customHeight="1" x14ac:dyDescent="0.2">
      <c r="B26" s="5"/>
      <c r="C26" s="68" t="s">
        <v>68</v>
      </c>
      <c r="D26" s="69"/>
      <c r="E26" s="69"/>
      <c r="F26" s="1"/>
      <c r="G26" s="1"/>
      <c r="H26" s="72" t="s">
        <v>58</v>
      </c>
      <c r="I26" s="72"/>
      <c r="J26" s="72"/>
      <c r="K26" s="72"/>
      <c r="L26" s="2"/>
    </row>
    <row r="27" spans="2:12" x14ac:dyDescent="0.2">
      <c r="B27" s="5"/>
      <c r="C27" s="1"/>
      <c r="D27" s="1"/>
      <c r="E27" s="1"/>
      <c r="F27" s="1"/>
      <c r="G27" s="1"/>
      <c r="H27" s="1"/>
      <c r="I27" s="1"/>
      <c r="J27" s="1"/>
      <c r="K27" s="1"/>
      <c r="L27" s="2"/>
    </row>
    <row r="28" spans="2:12" ht="13.5" thickBot="1" x14ac:dyDescent="0.25">
      <c r="B28" s="8"/>
      <c r="C28" s="3"/>
      <c r="D28" s="3"/>
      <c r="E28" s="3"/>
      <c r="F28" s="3"/>
      <c r="G28" s="3"/>
      <c r="H28" s="3"/>
      <c r="I28" s="3"/>
      <c r="J28" s="3"/>
      <c r="K28" s="3"/>
      <c r="L28" s="4"/>
    </row>
  </sheetData>
  <mergeCells count="37">
    <mergeCell ref="C26:E26"/>
    <mergeCell ref="H25:K25"/>
    <mergeCell ref="H26:K26"/>
    <mergeCell ref="H20:K20"/>
    <mergeCell ref="C21:E21"/>
    <mergeCell ref="H21:K21"/>
    <mergeCell ref="C25:E25"/>
    <mergeCell ref="F9:G9"/>
    <mergeCell ref="H9:K9"/>
    <mergeCell ref="F10:G10"/>
    <mergeCell ref="H10:K10"/>
    <mergeCell ref="C3:K3"/>
    <mergeCell ref="F8:G8"/>
    <mergeCell ref="H8:K8"/>
    <mergeCell ref="C6:E6"/>
    <mergeCell ref="F6:K6"/>
    <mergeCell ref="F7:G7"/>
    <mergeCell ref="H7:K7"/>
    <mergeCell ref="D7:E7"/>
    <mergeCell ref="D8:E8"/>
    <mergeCell ref="D9:E9"/>
    <mergeCell ref="D10:E10"/>
    <mergeCell ref="C15:E15"/>
    <mergeCell ref="C16:E16"/>
    <mergeCell ref="C17:E17"/>
    <mergeCell ref="C18:E18"/>
    <mergeCell ref="F14:K14"/>
    <mergeCell ref="F15:K15"/>
    <mergeCell ref="F16:K16"/>
    <mergeCell ref="F17:K17"/>
    <mergeCell ref="F18:K18"/>
    <mergeCell ref="F11:G11"/>
    <mergeCell ref="H11:K11"/>
    <mergeCell ref="C14:E14"/>
    <mergeCell ref="D12:K12"/>
    <mergeCell ref="C13:K13"/>
    <mergeCell ref="D11:E11"/>
  </mergeCells>
  <pageMargins left="0.7" right="0.7" top="0.75" bottom="0.75" header="0.3" footer="0.3"/>
  <pageSetup paperSize="1000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PENILAIAN KINERJA</vt:lpstr>
      <vt:lpstr>FORM INTEGRASI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bkn</dc:creator>
  <cp:lastModifiedBy>ASUS PC</cp:lastModifiedBy>
  <cp:lastPrinted>2021-06-30T00:41:48Z</cp:lastPrinted>
  <dcterms:created xsi:type="dcterms:W3CDTF">2010-10-07T03:41:24Z</dcterms:created>
  <dcterms:modified xsi:type="dcterms:W3CDTF">2022-01-07T00:43:25Z</dcterms:modified>
</cp:coreProperties>
</file>